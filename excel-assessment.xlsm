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madevi Hiremath\Downloads\MapUp-Data-Assessment-F-main\"/>
    </mc:Choice>
  </mc:AlternateContent>
  <xr:revisionPtr revIDLastSave="0" documentId="13_ncr:1_{76592E42-A639-493F-87AF-9C36CF229B94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G23" i="20" l="1"/>
  <c r="J23" i="20" s="1"/>
  <c r="J35" i="20"/>
  <c r="J24" i="20"/>
  <c r="J25" i="20"/>
  <c r="J26" i="20"/>
  <c r="J27" i="20"/>
  <c r="J28" i="20"/>
  <c r="J29" i="20"/>
  <c r="J30" i="20"/>
  <c r="J31" i="20"/>
  <c r="J32" i="20"/>
  <c r="J33" i="20"/>
  <c r="J34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C22" i="19"/>
  <c r="D13" i="19"/>
  <c r="D14" i="19"/>
  <c r="D15" i="19"/>
  <c r="D16" i="19"/>
  <c r="D17" i="19"/>
  <c r="D18" i="19"/>
  <c r="D19" i="19"/>
  <c r="D20" i="19"/>
  <c r="D21" i="19"/>
  <c r="D1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Z11" i="1"/>
</calcChain>
</file>

<file path=xl/sharedStrings.xml><?xml version="1.0" encoding="utf-8"?>
<sst xmlns="http://schemas.openxmlformats.org/spreadsheetml/2006/main" count="430" uniqueCount="194">
  <si>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</si>
  <si>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</si>
  <si>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</si>
  <si>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</si>
  <si>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</si>
  <si>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</si>
  <si>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</si>
  <si>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</si>
  <si>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</si>
  <si>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</si>
  <si>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</si>
  <si>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</si>
  <si>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</si>
  <si>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</si>
  <si>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</si>
  <si>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</si>
  <si>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</si>
  <si>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</si>
  <si>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</si>
  <si>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</si>
  <si>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</si>
  <si>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</si>
  <si>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</si>
  <si>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</si>
  <si>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</si>
  <si>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</si>
  <si>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</si>
  <si>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</si>
  <si>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</si>
  <si>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</si>
  <si>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</si>
  <si>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</si>
  <si>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</si>
  <si>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</si>
  <si>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</si>
  <si>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</si>
  <si>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</si>
  <si>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</si>
  <si>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</si>
  <si>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</si>
  <si>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</si>
  <si>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</si>
  <si>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</si>
  <si>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</si>
  <si>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</si>
  <si>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</si>
  <si>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</si>
  <si>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</si>
  <si>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</si>
  <si>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</si>
  <si>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</si>
  <si>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</si>
  <si>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</si>
  <si>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</si>
  <si>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</si>
  <si>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</si>
  <si>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</si>
  <si>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</si>
  <si>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</si>
  <si>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</si>
  <si>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</si>
  <si>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</si>
  <si>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</si>
  <si>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</si>
  <si>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</si>
  <si>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</si>
  <si>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</si>
  <si>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</si>
  <si>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</si>
  <si>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</si>
  <si>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</si>
  <si>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</si>
  <si>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</si>
  <si>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</si>
  <si>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</si>
  <si>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</si>
  <si>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</si>
  <si>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</si>
  <si>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</si>
  <si>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</si>
  <si>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</si>
  <si>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</si>
  <si>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</si>
  <si>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</si>
  <si>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</si>
  <si>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</si>
  <si>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</si>
  <si>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</si>
  <si>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</si>
  <si>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</si>
  <si>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</si>
  <si>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</si>
  <si>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</si>
  <si>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</si>
  <si>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</si>
  <si>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</si>
  <si>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</si>
  <si>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</si>
  <si>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</si>
  <si>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</si>
  <si>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</si>
  <si>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</si>
  <si>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</si>
  <si>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</si>
  <si>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</si>
  <si>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</si>
  <si>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</si>
  <si>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</si>
  <si>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</si>
  <si>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</si>
  <si>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</si>
  <si>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</si>
  <si>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</si>
  <si>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</si>
  <si>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</si>
  <si>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</si>
  <si>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</si>
  <si>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</si>
  <si>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</si>
  <si>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</si>
  <si>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</si>
  <si>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</si>
  <si>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</si>
  <si>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</si>
  <si>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</si>
  <si>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</si>
  <si>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</si>
  <si>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</si>
  <si>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</si>
  <si>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</si>
  <si>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</si>
  <si>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</si>
  <si>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</si>
  <si>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</si>
  <si>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</si>
  <si>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</si>
  <si>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</si>
  <si>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</si>
  <si>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</si>
  <si>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</si>
  <si>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</si>
  <si>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</si>
  <si>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</si>
  <si>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</si>
  <si>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</si>
  <si>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</si>
  <si>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</si>
  <si>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</si>
  <si>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</si>
  <si>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</si>
  <si>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</si>
  <si>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</si>
  <si>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</si>
  <si>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</si>
  <si>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</si>
  <si>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</si>
  <si>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</si>
  <si>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</si>
  <si>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</si>
  <si>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</si>
  <si>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</si>
  <si>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</si>
  <si>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</si>
  <si>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</si>
  <si>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</si>
  <si>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</si>
  <si>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</si>
  <si>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</si>
  <si>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</si>
  <si>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</si>
  <si>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</si>
  <si>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</si>
  <si>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</si>
  <si>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</si>
  <si>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</si>
  <si>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</si>
  <si>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</si>
  <si>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of car2</t>
  </si>
  <si>
    <t>SUMIF(H2:H40,"&gt;20")</t>
  </si>
  <si>
    <t>IFERROR(CELL,20)</t>
  </si>
  <si>
    <t>SUM(CELL:CELL)</t>
  </si>
  <si>
    <t>I applied the iferror function on the values in column C and replaced N/A values with 20 and then calculated the sum of the replaced values</t>
  </si>
  <si>
    <t>J</t>
  </si>
  <si>
    <t>VLOOKUP and MATCH</t>
  </si>
  <si>
    <t xml:space="preserve">I used VLOOKUP to refer to the value of name_1 and name_2 in Table_C to Table_B. From Table_B I looked up the values of Table_A. MATCH was used to find the corresponding column number which was used to </t>
  </si>
  <si>
    <t>locate the cell in a matrix fashion.</t>
  </si>
  <si>
    <t>Under the Data Tab the feature - Text to Columns was used</t>
  </si>
  <si>
    <t>I used the Text to Columns feature specifying the delimeter that is '-' so as to split the text in Table_A into columns</t>
  </si>
  <si>
    <t>View Tab - Freeze Panes</t>
  </si>
  <si>
    <t>Modified Date format-yyyy-mm-dd</t>
  </si>
  <si>
    <t>MIN Formula used</t>
  </si>
  <si>
    <t>MAX Formula used</t>
  </si>
  <si>
    <t>AVERAGE Formula used</t>
  </si>
  <si>
    <t>SheetName!Cell name was used to copy values from another sheet to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</si>
</sst>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2" defaultTableStyle="TableStyleMedium2" defaultPivotStyle="PivotStyleLight16">
    <tableStyle name="Invisible" pivot="0" table="0" count="0" xr9:uid="{D24AD282-BA51-4DB0-BF98-574CED6CB488}"/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5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40"/>
  <sheetViews>
    <sheetView topLeftCell="K1" zoomScaleNormal="100" workbookViewId="0">
      <pane ySplit="1" topLeftCell="A2" activePane="bottomLeft" state="frozen"/>
      <selection pane="bottomLeft" activeCell="G2" sqref="G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25" width="15.6640625" style="1" customWidth="1"/>
    <col min="26" max="26" width="12.109375" style="1" customWidth="1"/>
    <col min="27" max="16384" width="9" style="1"/>
  </cols>
  <sheetData>
    <row r="1" spans="1:26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6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6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1" t="s">
        <v>177</v>
      </c>
    </row>
    <row r="4" spans="1:26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6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6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6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6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6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6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6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  <c r="Y11" s="1" t="s">
        <v>177</v>
      </c>
      <c r="Z11" s="1">
        <f>SUMIF(H2:H40,"&gt;20")</f>
        <v>1473.0000000000002</v>
      </c>
    </row>
    <row r="12" spans="1:26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6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6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6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6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G2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34" sqref="B3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188</v>
      </c>
      <c r="E4" s="1">
        <v>5</v>
      </c>
    </row>
    <row r="5" spans="1:5" x14ac:dyDescent="0.3">
      <c r="A5" s="6">
        <v>3</v>
      </c>
      <c r="B5" s="2" t="s">
        <v>104</v>
      </c>
      <c r="C5" s="34" t="s">
        <v>178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189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M30"/>
  <sheetViews>
    <sheetView zoomScaleNormal="100" workbookViewId="0">
      <selection activeCell="C30" sqref="C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13" s="41" customFormat="1" ht="21" x14ac:dyDescent="0.4">
      <c r="A1" s="42" t="s">
        <v>55</v>
      </c>
      <c r="B1" s="41" t="s">
        <v>164</v>
      </c>
    </row>
    <row r="2" spans="1:13" s="41" customFormat="1" ht="21" x14ac:dyDescent="0.4">
      <c r="B2" s="41" t="s">
        <v>161</v>
      </c>
    </row>
    <row r="3" spans="1:13" ht="14.4" x14ac:dyDescent="0.3">
      <c r="A3" s="1"/>
      <c r="B3" s="1"/>
      <c r="C3" s="1"/>
      <c r="D3" s="1"/>
      <c r="E3" s="1"/>
      <c r="F3" s="1"/>
      <c r="G3" s="1"/>
    </row>
    <row r="4" spans="1:13" ht="23.4" x14ac:dyDescent="0.45">
      <c r="A4" s="17" t="s">
        <v>162</v>
      </c>
      <c r="B4" s="1"/>
      <c r="C4" s="1"/>
      <c r="D4" s="1"/>
      <c r="E4" s="1"/>
      <c r="F4" s="1"/>
      <c r="G4" s="1"/>
    </row>
    <row r="5" spans="1:13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13" ht="14.4" x14ac:dyDescent="0.3">
      <c r="A6" s="7" t="s">
        <v>40</v>
      </c>
      <c r="B6" s="11">
        <f>Dataset!G2</f>
        <v>2.7</v>
      </c>
      <c r="C6" s="11">
        <f>Dataset!N2</f>
        <v>7.6</v>
      </c>
      <c r="D6" s="11">
        <f>Dataset!R2</f>
        <v>4.2</v>
      </c>
      <c r="E6" s="11">
        <f>Dataset!T2</f>
        <v>8.9</v>
      </c>
      <c r="F6" s="8">
        <f>Dataset!V2</f>
        <v>4.2</v>
      </c>
      <c r="H6" s="46" t="s">
        <v>193</v>
      </c>
      <c r="I6" s="46"/>
      <c r="J6" s="46"/>
      <c r="K6" s="46"/>
      <c r="L6" s="46"/>
      <c r="M6" s="46"/>
    </row>
    <row r="7" spans="1:13" ht="14.4" x14ac:dyDescent="0.3">
      <c r="A7" s="7" t="s">
        <v>4</v>
      </c>
      <c r="B7" s="11">
        <f>Dataset!G3</f>
        <v>2.7</v>
      </c>
      <c r="C7" s="11">
        <f>Dataset!N3</f>
        <v>7.6</v>
      </c>
      <c r="D7" s="11">
        <f>Dataset!R3</f>
        <v>4.2</v>
      </c>
      <c r="E7" s="11">
        <f>Dataset!T3</f>
        <v>8.9</v>
      </c>
      <c r="F7" s="8">
        <f>Dataset!V3</f>
        <v>4.2</v>
      </c>
    </row>
    <row r="8" spans="1:13" ht="14.4" x14ac:dyDescent="0.3">
      <c r="A8" s="7" t="s">
        <v>7</v>
      </c>
      <c r="B8" s="11">
        <f>Dataset!G4</f>
        <v>3.6</v>
      </c>
      <c r="C8" s="11">
        <f>Dataset!N4</f>
        <v>11.1</v>
      </c>
      <c r="D8" s="11">
        <f>Dataset!R4</f>
        <v>5.8</v>
      </c>
      <c r="E8" s="11">
        <f>Dataset!T4</f>
        <v>12.2</v>
      </c>
      <c r="F8" s="8">
        <f>Dataset!V4</f>
        <v>5.8</v>
      </c>
    </row>
    <row r="9" spans="1:13" ht="14.4" x14ac:dyDescent="0.3">
      <c r="A9" s="7" t="s">
        <v>8</v>
      </c>
      <c r="B9" s="11">
        <f>Dataset!G5</f>
        <v>4.9000000000000004</v>
      </c>
      <c r="C9" s="11">
        <f>Dataset!N5</f>
        <v>13.3</v>
      </c>
      <c r="D9" s="11">
        <f>Dataset!R5</f>
        <v>8.1</v>
      </c>
      <c r="E9" s="11">
        <f>Dataset!T5</f>
        <v>17</v>
      </c>
      <c r="F9" s="8">
        <f>Dataset!V5</f>
        <v>8.1</v>
      </c>
    </row>
    <row r="10" spans="1:13" ht="14.4" x14ac:dyDescent="0.3">
      <c r="A10" s="7" t="s">
        <v>11</v>
      </c>
      <c r="B10" s="11">
        <f>Dataset!G6</f>
        <v>6.6</v>
      </c>
      <c r="C10" s="11">
        <f>Dataset!N6</f>
        <v>18</v>
      </c>
      <c r="D10" s="11">
        <f>Dataset!R6</f>
        <v>11</v>
      </c>
      <c r="E10" s="11">
        <f>Dataset!T6</f>
        <v>22.5</v>
      </c>
      <c r="F10" s="8">
        <f>Dataset!V6</f>
        <v>11</v>
      </c>
    </row>
    <row r="11" spans="1:13" ht="14.4" x14ac:dyDescent="0.3">
      <c r="A11" s="7" t="s">
        <v>12</v>
      </c>
      <c r="B11" s="11">
        <f>Dataset!G7</f>
        <v>7.1</v>
      </c>
      <c r="C11" s="11">
        <f>Dataset!N7</f>
        <v>21.5</v>
      </c>
      <c r="D11" s="11">
        <f>Dataset!R7</f>
        <v>12.8</v>
      </c>
      <c r="E11" s="11">
        <f>Dataset!T7</f>
        <v>26.1</v>
      </c>
      <c r="F11" s="8">
        <f>Dataset!V7</f>
        <v>12.8</v>
      </c>
    </row>
    <row r="12" spans="1:13" ht="14.4" x14ac:dyDescent="0.3">
      <c r="A12" s="7" t="s">
        <v>14</v>
      </c>
      <c r="B12" s="11">
        <f>Dataset!G8</f>
        <v>9.4</v>
      </c>
      <c r="C12" s="11">
        <f>Dataset!N8</f>
        <v>28.3</v>
      </c>
      <c r="D12" s="11">
        <f>Dataset!R8</f>
        <v>16.100000000000001</v>
      </c>
      <c r="E12" s="11">
        <f>Dataset!T8</f>
        <v>32.799999999999997</v>
      </c>
      <c r="F12" s="8">
        <f>Dataset!V8</f>
        <v>16.100000000000001</v>
      </c>
    </row>
    <row r="13" spans="1:13" ht="14.4" x14ac:dyDescent="0.3">
      <c r="A13" s="7" t="s">
        <v>15</v>
      </c>
      <c r="B13" s="11">
        <f>Dataset!G9</f>
        <v>11.6</v>
      </c>
      <c r="C13" s="11">
        <f>Dataset!N9</f>
        <v>35.200000000000003</v>
      </c>
      <c r="D13" s="11">
        <f>Dataset!R9</f>
        <v>21.3</v>
      </c>
      <c r="E13" s="11">
        <f>Dataset!T9</f>
        <v>43</v>
      </c>
      <c r="F13" s="8">
        <f>Dataset!V9</f>
        <v>21.3</v>
      </c>
    </row>
    <row r="14" spans="1:13" ht="14.4" x14ac:dyDescent="0.3">
      <c r="A14" s="7" t="s">
        <v>16</v>
      </c>
      <c r="B14" s="11">
        <f>Dataset!G10</f>
        <v>16.100000000000001</v>
      </c>
      <c r="C14" s="11">
        <f>Dataset!N10</f>
        <v>49</v>
      </c>
      <c r="D14" s="11">
        <f>Dataset!R10</f>
        <v>29.1</v>
      </c>
      <c r="E14" s="11">
        <f>Dataset!T10</f>
        <v>59</v>
      </c>
      <c r="F14" s="8">
        <f>Dataset!V10</f>
        <v>29.1</v>
      </c>
    </row>
    <row r="15" spans="1:13" ht="14.4" x14ac:dyDescent="0.3">
      <c r="A15" s="7" t="s">
        <v>18</v>
      </c>
      <c r="B15" s="11">
        <f>Dataset!G11</f>
        <v>18.399999999999999</v>
      </c>
      <c r="C15" s="11">
        <f>Dataset!N11</f>
        <v>55.6</v>
      </c>
      <c r="D15" s="11">
        <f>Dataset!R11</f>
        <v>33.799999999999997</v>
      </c>
      <c r="E15" s="11">
        <f>Dataset!T11</f>
        <v>67.900000000000006</v>
      </c>
      <c r="F15" s="8">
        <f>Dataset!V11</f>
        <v>33.799999999999997</v>
      </c>
    </row>
    <row r="16" spans="1:13" ht="14.4" x14ac:dyDescent="0.3">
      <c r="A16" s="7" t="s">
        <v>20</v>
      </c>
      <c r="B16" s="11">
        <f>Dataset!G12</f>
        <v>0</v>
      </c>
      <c r="C16" s="11">
        <f>Dataset!N12</f>
        <v>0</v>
      </c>
      <c r="D16" s="11">
        <f>Dataset!R12</f>
        <v>0</v>
      </c>
      <c r="E16" s="11">
        <f>Dataset!T12</f>
        <v>0</v>
      </c>
      <c r="F16" s="8">
        <f>Dataset!V12</f>
        <v>0</v>
      </c>
    </row>
    <row r="17" spans="1:9" ht="14.4" x14ac:dyDescent="0.3">
      <c r="A17" s="7" t="s">
        <v>22</v>
      </c>
      <c r="B17" s="11">
        <f>Dataset!G13</f>
        <v>21.9</v>
      </c>
      <c r="C17" s="11">
        <f>Dataset!N13</f>
        <v>61.5</v>
      </c>
      <c r="D17" s="11">
        <f>Dataset!R13</f>
        <v>40.1</v>
      </c>
      <c r="E17" s="11">
        <f>Dataset!T13</f>
        <v>76.599999999999994</v>
      </c>
      <c r="F17" s="8">
        <f>Dataset!V13</f>
        <v>40.1</v>
      </c>
    </row>
    <row r="18" spans="1:9" ht="14.4" x14ac:dyDescent="0.3">
      <c r="A18" s="7" t="s">
        <v>23</v>
      </c>
      <c r="B18" s="11">
        <f>Dataset!G14</f>
        <v>23.5</v>
      </c>
      <c r="C18" s="11">
        <f>Dataset!N14</f>
        <v>70.8</v>
      </c>
      <c r="D18" s="11">
        <f>Dataset!R14</f>
        <v>42.7</v>
      </c>
      <c r="E18" s="11">
        <f>Dataset!T14</f>
        <v>86.6</v>
      </c>
      <c r="F18" s="8">
        <f>Dataset!V14</f>
        <v>42.7</v>
      </c>
    </row>
    <row r="19" spans="1:9" ht="14.4" x14ac:dyDescent="0.3">
      <c r="A19" s="7" t="s">
        <v>24</v>
      </c>
      <c r="B19" s="11">
        <f>Dataset!G15</f>
        <v>26.8</v>
      </c>
      <c r="C19" s="11">
        <f>Dataset!N15</f>
        <v>79.599999999999994</v>
      </c>
      <c r="D19" s="11">
        <f>Dataset!R15</f>
        <v>47.9</v>
      </c>
      <c r="E19" s="11">
        <f>Dataset!T15</f>
        <v>96.8</v>
      </c>
      <c r="F19" s="8">
        <f>Dataset!V15</f>
        <v>47.9</v>
      </c>
    </row>
    <row r="20" spans="1:9" ht="14.4" x14ac:dyDescent="0.3">
      <c r="A20" s="7" t="s">
        <v>28</v>
      </c>
      <c r="B20" s="11">
        <f>Dataset!G16</f>
        <v>28</v>
      </c>
      <c r="C20" s="11">
        <f>Dataset!N16</f>
        <v>83.2</v>
      </c>
      <c r="D20" s="11">
        <f>Dataset!R16</f>
        <v>50.1</v>
      </c>
      <c r="E20" s="11">
        <f>Dataset!T16</f>
        <v>101.3</v>
      </c>
      <c r="F20" s="8">
        <f>Dataset!V16</f>
        <v>50.1</v>
      </c>
    </row>
    <row r="21" spans="1:9" ht="14.4" x14ac:dyDescent="0.3">
      <c r="A21" s="7" t="s">
        <v>57</v>
      </c>
      <c r="B21" s="11">
        <f>Dataset!G17</f>
        <v>28.5</v>
      </c>
      <c r="C21" s="11">
        <f>Dataset!N17</f>
        <v>85.4</v>
      </c>
      <c r="D21" s="11">
        <f>Dataset!R17</f>
        <v>52.3</v>
      </c>
      <c r="E21" s="11">
        <f>Dataset!T17</f>
        <v>106.1</v>
      </c>
      <c r="F21" s="8">
        <f>Dataset!V17</f>
        <v>52.3</v>
      </c>
    </row>
    <row r="22" spans="1:9" ht="14.4" x14ac:dyDescent="0.3">
      <c r="A22" s="7" t="s">
        <v>58</v>
      </c>
      <c r="B22" s="11">
        <f>Dataset!G18</f>
        <v>29.1</v>
      </c>
      <c r="C22" s="11">
        <f>Dataset!N18</f>
        <v>87.6</v>
      </c>
      <c r="D22" s="11">
        <f>Dataset!R18</f>
        <v>53.7</v>
      </c>
      <c r="E22" s="11">
        <f>Dataset!T18</f>
        <v>108.8</v>
      </c>
      <c r="F22" s="8">
        <f>Dataset!V18</f>
        <v>53.7</v>
      </c>
    </row>
    <row r="23" spans="1:9" ht="14.4" x14ac:dyDescent="0.3">
      <c r="A23" s="7" t="s">
        <v>31</v>
      </c>
      <c r="B23" s="11">
        <f>Dataset!G19</f>
        <v>30.7</v>
      </c>
      <c r="C23" s="11">
        <f>Dataset!N19</f>
        <v>92.1</v>
      </c>
      <c r="D23" s="11">
        <f>Dataset!R19</f>
        <v>57</v>
      </c>
      <c r="E23" s="11">
        <f>Dataset!T19</f>
        <v>115.1</v>
      </c>
      <c r="F23" s="8">
        <f>Dataset!V19</f>
        <v>57</v>
      </c>
    </row>
    <row r="24" spans="1:9" ht="14.4" x14ac:dyDescent="0.3">
      <c r="A24" s="7" t="s">
        <v>32</v>
      </c>
      <c r="B24" s="11">
        <f>Dataset!G20</f>
        <v>33.799999999999997</v>
      </c>
      <c r="C24" s="11">
        <f>Dataset!N20</f>
        <v>101.3</v>
      </c>
      <c r="D24" s="11">
        <f>Dataset!R20</f>
        <v>61.4</v>
      </c>
      <c r="E24" s="11">
        <f>Dataset!T20</f>
        <v>124.4</v>
      </c>
      <c r="F24" s="8">
        <f>Dataset!V20</f>
        <v>61.4</v>
      </c>
    </row>
    <row r="25" spans="1:9" ht="14.4" x14ac:dyDescent="0.3">
      <c r="A25" s="7" t="s">
        <v>34</v>
      </c>
      <c r="B25" s="11">
        <f>Dataset!G21</f>
        <v>34.700000000000003</v>
      </c>
      <c r="C25" s="11">
        <f>Dataset!N21</f>
        <v>106.1</v>
      </c>
      <c r="D25" s="11">
        <f>Dataset!R21</f>
        <v>63.6</v>
      </c>
      <c r="E25" s="11">
        <f>Dataset!T21</f>
        <v>128.6</v>
      </c>
      <c r="F25" s="8">
        <f>Dataset!V21</f>
        <v>63.6</v>
      </c>
    </row>
    <row r="26" spans="1:9" ht="14.4" x14ac:dyDescent="0.3">
      <c r="A26" s="7" t="s">
        <v>37</v>
      </c>
      <c r="B26" s="11">
        <f>Dataset!G22</f>
        <v>36.5</v>
      </c>
      <c r="C26" s="11">
        <f>Dataset!N22</f>
        <v>110.3</v>
      </c>
      <c r="D26" s="11">
        <f>Dataset!R22</f>
        <v>65.900000000000006</v>
      </c>
      <c r="E26" s="11">
        <f>Dataset!T22</f>
        <v>133.4</v>
      </c>
      <c r="F26" s="8">
        <f>Dataset!V22</f>
        <v>65.900000000000006</v>
      </c>
    </row>
    <row r="27" spans="1:9" ht="14.4" x14ac:dyDescent="0.3">
      <c r="A27" s="7" t="s">
        <v>39</v>
      </c>
      <c r="B27" s="11">
        <f>Dataset!G23</f>
        <v>38</v>
      </c>
      <c r="C27" s="11">
        <f>Dataset!N23</f>
        <v>115.5</v>
      </c>
      <c r="D27" s="11">
        <f>Dataset!R23</f>
        <v>68.7</v>
      </c>
      <c r="E27" s="11">
        <f>Dataset!T23</f>
        <v>138.80000000000001</v>
      </c>
      <c r="F27" s="8">
        <f>Dataset!V23</f>
        <v>68.7</v>
      </c>
    </row>
    <row r="28" spans="1:9" ht="14.4" x14ac:dyDescent="0.3">
      <c r="A28" s="18" t="s">
        <v>82</v>
      </c>
      <c r="B28" s="31">
        <f>MIN(B6:B27)</f>
        <v>0</v>
      </c>
      <c r="C28" s="31">
        <f t="shared" ref="C28:F28" si="0">MIN(C6:C27)</f>
        <v>0</v>
      </c>
      <c r="D28" s="31">
        <f t="shared" si="0"/>
        <v>0</v>
      </c>
      <c r="E28" s="31">
        <f t="shared" si="0"/>
        <v>0</v>
      </c>
      <c r="F28" s="31">
        <f t="shared" si="0"/>
        <v>0</v>
      </c>
      <c r="H28" s="46" t="s">
        <v>190</v>
      </c>
      <c r="I28" s="46"/>
    </row>
    <row r="29" spans="1:9" ht="14.4" x14ac:dyDescent="0.3">
      <c r="A29" s="18" t="s">
        <v>83</v>
      </c>
      <c r="B29" s="31">
        <f>MAX(B6:B27)</f>
        <v>38</v>
      </c>
      <c r="C29" s="31">
        <f t="shared" ref="C29:F29" si="1">MAX(C6:C27)</f>
        <v>115.5</v>
      </c>
      <c r="D29" s="31">
        <f t="shared" si="1"/>
        <v>68.7</v>
      </c>
      <c r="E29" s="31">
        <f t="shared" si="1"/>
        <v>138.80000000000001</v>
      </c>
      <c r="F29" s="31">
        <f t="shared" si="1"/>
        <v>68.7</v>
      </c>
      <c r="H29" s="46" t="s">
        <v>191</v>
      </c>
      <c r="I29" s="46"/>
    </row>
    <row r="30" spans="1:9" ht="14.4" x14ac:dyDescent="0.3">
      <c r="A30" s="18" t="s">
        <v>84</v>
      </c>
      <c r="B30" s="31">
        <f>AVERAGE(B6:B27)</f>
        <v>18.845454545454547</v>
      </c>
      <c r="C30" s="31">
        <f t="shared" ref="C30:F30" si="2">AVERAGE(C6:C27)</f>
        <v>56.390909090909098</v>
      </c>
      <c r="D30" s="31">
        <f t="shared" si="2"/>
        <v>34.081818181818186</v>
      </c>
      <c r="E30" s="31">
        <f t="shared" si="2"/>
        <v>68.854545454545459</v>
      </c>
      <c r="F30" s="31">
        <f t="shared" si="2"/>
        <v>34.081818181818186</v>
      </c>
      <c r="H30" s="46" t="s">
        <v>192</v>
      </c>
      <c r="I30" s="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"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186</v>
      </c>
    </row>
    <row r="6" spans="1:10" ht="18" x14ac:dyDescent="0.35">
      <c r="A6" s="43" t="s">
        <v>153</v>
      </c>
      <c r="B6" s="40" t="s">
        <v>187</v>
      </c>
    </row>
    <row r="7" spans="1:10" ht="18" x14ac:dyDescent="0.35">
      <c r="A7" s="43"/>
      <c r="B7" s="40"/>
    </row>
    <row r="9" spans="1:10" ht="23.4" x14ac:dyDescent="0.45">
      <c r="A9" s="17" t="s">
        <v>165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9" t="s">
        <v>120</v>
      </c>
      <c r="B54" s="11">
        <v>21016</v>
      </c>
      <c r="C54" s="1" t="s">
        <v>5</v>
      </c>
      <c r="D54" s="11">
        <v>0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D12" sqref="D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2" t="s">
        <v>85</v>
      </c>
      <c r="B1" s="41" t="s">
        <v>167</v>
      </c>
    </row>
    <row r="2" spans="1:4" ht="18" x14ac:dyDescent="0.35">
      <c r="B2" s="40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 t="s">
        <v>179</v>
      </c>
      <c r="C6" s="2" t="s">
        <v>180</v>
      </c>
    </row>
    <row r="7" spans="1:4" ht="14.4" x14ac:dyDescent="0.3">
      <c r="A7" s="3" t="s">
        <v>153</v>
      </c>
      <c r="B7" s="1" t="s">
        <v>181</v>
      </c>
    </row>
    <row r="10" spans="1:4" ht="23.4" x14ac:dyDescent="0.45">
      <c r="A10" s="17" t="s">
        <v>162</v>
      </c>
    </row>
    <row r="11" spans="1:4" ht="14.4" x14ac:dyDescent="0.3">
      <c r="A11" s="32" t="s">
        <v>86</v>
      </c>
      <c r="B11" s="16" t="s">
        <v>87</v>
      </c>
      <c r="C11" s="16" t="s">
        <v>88</v>
      </c>
    </row>
    <row r="12" spans="1:4" ht="14.4" x14ac:dyDescent="0.3">
      <c r="A12" s="32">
        <v>44927</v>
      </c>
      <c r="B12" s="16" t="s">
        <v>59</v>
      </c>
      <c r="C12" s="16">
        <v>200</v>
      </c>
      <c r="D12" s="2">
        <f>IFERROR(C12,20)</f>
        <v>200</v>
      </c>
    </row>
    <row r="13" spans="1:4" ht="14.4" x14ac:dyDescent="0.3">
      <c r="A13" s="32">
        <v>44928</v>
      </c>
      <c r="B13" s="16" t="s">
        <v>60</v>
      </c>
      <c r="C13" s="16" t="e">
        <v>#N/A</v>
      </c>
      <c r="D13" s="2">
        <f t="shared" ref="D13:D21" si="0">IFERROR(C13,20)</f>
        <v>20</v>
      </c>
    </row>
    <row r="14" spans="1:4" ht="14.4" x14ac:dyDescent="0.3">
      <c r="A14" s="32">
        <v>44929</v>
      </c>
      <c r="B14" s="16" t="s">
        <v>61</v>
      </c>
      <c r="C14" s="16">
        <v>50</v>
      </c>
      <c r="D14" s="2">
        <f t="shared" si="0"/>
        <v>50</v>
      </c>
    </row>
    <row r="15" spans="1:4" ht="14.4" x14ac:dyDescent="0.3">
      <c r="A15" s="32">
        <v>44930</v>
      </c>
      <c r="B15" s="16" t="s">
        <v>62</v>
      </c>
      <c r="C15" s="16" t="e">
        <v>#N/A</v>
      </c>
      <c r="D15" s="2">
        <f t="shared" si="0"/>
        <v>20</v>
      </c>
    </row>
    <row r="16" spans="1:4" ht="14.4" x14ac:dyDescent="0.3">
      <c r="A16" s="32">
        <v>44931</v>
      </c>
      <c r="B16" s="16" t="s">
        <v>63</v>
      </c>
      <c r="C16" s="16">
        <v>10</v>
      </c>
      <c r="D16" s="2">
        <f t="shared" si="0"/>
        <v>10</v>
      </c>
    </row>
    <row r="17" spans="1:4" ht="14.4" x14ac:dyDescent="0.3">
      <c r="A17" s="32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4.4" x14ac:dyDescent="0.3">
      <c r="A18" s="32">
        <v>44933</v>
      </c>
      <c r="B18" s="16" t="s">
        <v>155</v>
      </c>
      <c r="C18" s="16">
        <v>80</v>
      </c>
      <c r="D18" s="2">
        <f t="shared" si="0"/>
        <v>80</v>
      </c>
    </row>
    <row r="19" spans="1:4" ht="14.4" x14ac:dyDescent="0.3">
      <c r="A19" s="32">
        <v>44934</v>
      </c>
      <c r="B19" s="16" t="s">
        <v>156</v>
      </c>
      <c r="C19" s="16" t="e">
        <v>#N/A</v>
      </c>
      <c r="D19" s="2">
        <f t="shared" si="0"/>
        <v>20</v>
      </c>
    </row>
    <row r="20" spans="1:4" ht="14.4" x14ac:dyDescent="0.3">
      <c r="A20" s="32">
        <v>44935</v>
      </c>
      <c r="B20" s="16" t="s">
        <v>157</v>
      </c>
      <c r="C20" s="16">
        <v>30</v>
      </c>
      <c r="D20" s="2">
        <f t="shared" si="0"/>
        <v>30</v>
      </c>
    </row>
    <row r="21" spans="1:4" ht="14.4" x14ac:dyDescent="0.3">
      <c r="A21" s="32">
        <v>44936</v>
      </c>
      <c r="B21" s="16" t="s">
        <v>158</v>
      </c>
      <c r="C21" s="16" t="e">
        <v>#N/A</v>
      </c>
      <c r="D21" s="2">
        <f t="shared" si="0"/>
        <v>20</v>
      </c>
    </row>
    <row r="22" spans="1:4" ht="14.4" x14ac:dyDescent="0.3">
      <c r="B22" s="16" t="s">
        <v>159</v>
      </c>
      <c r="C22" s="24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4" zoomScaleNormal="100" workbookViewId="0">
      <selection activeCell="I21" sqref="I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  <c r="C4" s="2" t="s">
        <v>183</v>
      </c>
    </row>
    <row r="5" spans="1:14" ht="18" x14ac:dyDescent="0.35">
      <c r="A5" s="43" t="s">
        <v>153</v>
      </c>
      <c r="B5" s="1"/>
      <c r="C5" s="2" t="s">
        <v>184</v>
      </c>
    </row>
    <row r="6" spans="1:14" ht="14.4" x14ac:dyDescent="0.3">
      <c r="A6" s="3"/>
      <c r="B6" s="1"/>
      <c r="C6" s="2" t="s">
        <v>185</v>
      </c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2">
        <v>95</v>
      </c>
      <c r="G23" s="2" t="str">
        <f>VLOOKUP(A23,$M$10:$N$18,2,0)</f>
        <v>A</v>
      </c>
      <c r="H23" s="2" t="str">
        <f>VLOOKUP(B23,$M$10:$N$18,2)</f>
        <v>B</v>
      </c>
      <c r="I23" s="2" t="s">
        <v>91</v>
      </c>
      <c r="J23" s="2">
        <f>VLOOKUP(G23,$A$10:$J$18,MATCH(I23,$B$9:$J$9,0),0)</f>
        <v>95</v>
      </c>
    </row>
    <row r="24" spans="1:14" ht="14.4" x14ac:dyDescent="0.3">
      <c r="A24" s="7">
        <v>10100</v>
      </c>
      <c r="B24" s="11">
        <v>10104</v>
      </c>
      <c r="C24" s="2">
        <v>-1</v>
      </c>
      <c r="G24" s="2" t="str">
        <f t="shared" ref="G24:G35" si="0">VLOOKUP(A24,$M$10:$N$18,2,0)</f>
        <v>A</v>
      </c>
      <c r="H24" s="2" t="str">
        <f t="shared" ref="H24:H35" si="1">VLOOKUP(B24,$M$10:$N$18,2)</f>
        <v>C</v>
      </c>
      <c r="I24" s="2" t="s">
        <v>92</v>
      </c>
      <c r="J24" s="2">
        <f t="shared" ref="J24:J34" si="2">VLOOKUP(G24,$A$10:$J$18,MATCH(I24,$B$9:$J$9,0),0)</f>
        <v>-1</v>
      </c>
    </row>
    <row r="25" spans="1:14" ht="14.4" x14ac:dyDescent="0.3">
      <c r="A25" s="7">
        <v>10108</v>
      </c>
      <c r="B25" s="11">
        <v>10102</v>
      </c>
      <c r="C25" s="2">
        <v>160</v>
      </c>
      <c r="G25" s="2" t="str">
        <f t="shared" si="0"/>
        <v>E</v>
      </c>
      <c r="H25" s="2" t="str">
        <f t="shared" si="1"/>
        <v>B</v>
      </c>
      <c r="I25" s="2" t="s">
        <v>91</v>
      </c>
      <c r="J25" s="2">
        <f t="shared" si="2"/>
        <v>160</v>
      </c>
    </row>
    <row r="26" spans="1:14" ht="14.4" x14ac:dyDescent="0.3">
      <c r="A26" s="7">
        <v>10100</v>
      </c>
      <c r="B26" s="11">
        <v>10106</v>
      </c>
      <c r="C26" s="2">
        <v>185</v>
      </c>
      <c r="G26" s="2" t="str">
        <f t="shared" si="0"/>
        <v>A</v>
      </c>
      <c r="H26" s="2" t="str">
        <f t="shared" si="1"/>
        <v>D</v>
      </c>
      <c r="I26" s="2" t="s">
        <v>93</v>
      </c>
      <c r="J26" s="2">
        <f t="shared" si="2"/>
        <v>185</v>
      </c>
    </row>
    <row r="27" spans="1:14" ht="14.4" x14ac:dyDescent="0.3">
      <c r="A27" s="7">
        <v>10108</v>
      </c>
      <c r="B27" s="11">
        <v>10110</v>
      </c>
      <c r="C27" s="2">
        <v>50</v>
      </c>
      <c r="G27" s="2" t="str">
        <f t="shared" si="0"/>
        <v>E</v>
      </c>
      <c r="H27" s="2" t="str">
        <f t="shared" si="1"/>
        <v>F</v>
      </c>
      <c r="I27" s="2" t="s">
        <v>95</v>
      </c>
      <c r="J27" s="2">
        <f t="shared" si="2"/>
        <v>50</v>
      </c>
    </row>
    <row r="28" spans="1:14" ht="14.4" x14ac:dyDescent="0.3">
      <c r="A28" s="7">
        <v>10102</v>
      </c>
      <c r="B28" s="11">
        <v>10104</v>
      </c>
      <c r="C28" s="2">
        <v>-1</v>
      </c>
      <c r="G28" s="2" t="str">
        <f t="shared" si="0"/>
        <v>B</v>
      </c>
      <c r="H28" s="2" t="str">
        <f t="shared" si="1"/>
        <v>C</v>
      </c>
      <c r="I28" s="2" t="s">
        <v>92</v>
      </c>
      <c r="J28" s="2">
        <f t="shared" si="2"/>
        <v>-1</v>
      </c>
    </row>
    <row r="29" spans="1:14" ht="14.4" x14ac:dyDescent="0.3">
      <c r="A29" s="7">
        <v>10106</v>
      </c>
      <c r="B29" s="11">
        <v>10108</v>
      </c>
      <c r="C29" s="2">
        <v>70</v>
      </c>
      <c r="G29" s="2" t="str">
        <f t="shared" si="0"/>
        <v>D</v>
      </c>
      <c r="H29" s="2" t="str">
        <f t="shared" si="1"/>
        <v>E</v>
      </c>
      <c r="I29" s="2" t="s">
        <v>94</v>
      </c>
      <c r="J29" s="2">
        <f t="shared" si="2"/>
        <v>70</v>
      </c>
    </row>
    <row r="30" spans="1:14" ht="14.4" x14ac:dyDescent="0.3">
      <c r="A30" s="7">
        <v>10102</v>
      </c>
      <c r="B30" s="11">
        <v>10106</v>
      </c>
      <c r="C30" s="2">
        <v>90</v>
      </c>
      <c r="G30" s="2" t="str">
        <f t="shared" si="0"/>
        <v>B</v>
      </c>
      <c r="H30" s="2" t="str">
        <f t="shared" si="1"/>
        <v>D</v>
      </c>
      <c r="I30" s="2" t="s">
        <v>93</v>
      </c>
      <c r="J30" s="2">
        <f t="shared" si="2"/>
        <v>90</v>
      </c>
    </row>
    <row r="31" spans="1:14" ht="14.4" x14ac:dyDescent="0.3">
      <c r="A31" s="7">
        <v>10110</v>
      </c>
      <c r="B31" s="11">
        <v>10114</v>
      </c>
      <c r="C31" s="2">
        <v>180</v>
      </c>
      <c r="G31" s="2" t="str">
        <f t="shared" si="0"/>
        <v>F</v>
      </c>
      <c r="H31" s="2" t="str">
        <f t="shared" si="1"/>
        <v>H</v>
      </c>
      <c r="I31" s="2" t="s">
        <v>97</v>
      </c>
      <c r="J31" s="2">
        <f t="shared" si="2"/>
        <v>180</v>
      </c>
    </row>
    <row r="32" spans="1:14" ht="14.4" x14ac:dyDescent="0.3">
      <c r="A32" s="7">
        <v>10104</v>
      </c>
      <c r="B32" s="11">
        <v>10106</v>
      </c>
      <c r="C32" s="2">
        <v>60</v>
      </c>
      <c r="G32" s="2" t="str">
        <f t="shared" si="0"/>
        <v>C</v>
      </c>
      <c r="H32" s="2" t="str">
        <f t="shared" si="1"/>
        <v>D</v>
      </c>
      <c r="I32" s="2" t="s">
        <v>93</v>
      </c>
      <c r="J32" s="2">
        <f t="shared" si="2"/>
        <v>60</v>
      </c>
    </row>
    <row r="33" spans="1:10" ht="14.4" x14ac:dyDescent="0.3">
      <c r="A33" s="7">
        <v>10110</v>
      </c>
      <c r="B33" s="11">
        <v>10112</v>
      </c>
      <c r="C33" s="2">
        <v>115</v>
      </c>
      <c r="G33" s="2" t="str">
        <f t="shared" si="0"/>
        <v>F</v>
      </c>
      <c r="H33" s="2" t="str">
        <f t="shared" si="1"/>
        <v>G</v>
      </c>
      <c r="I33" s="2" t="s">
        <v>96</v>
      </c>
      <c r="J33" s="2">
        <f t="shared" si="2"/>
        <v>115</v>
      </c>
    </row>
    <row r="34" spans="1:10" ht="14.4" x14ac:dyDescent="0.3">
      <c r="A34" s="7">
        <v>10100</v>
      </c>
      <c r="B34" s="11">
        <v>10114</v>
      </c>
      <c r="C34" s="2">
        <v>480</v>
      </c>
      <c r="G34" s="2" t="str">
        <f t="shared" si="0"/>
        <v>A</v>
      </c>
      <c r="H34" s="2" t="str">
        <f t="shared" si="1"/>
        <v>H</v>
      </c>
      <c r="I34" s="2" t="s">
        <v>97</v>
      </c>
      <c r="J34" s="2">
        <f t="shared" si="2"/>
        <v>480</v>
      </c>
    </row>
    <row r="35" spans="1:10" ht="14.4" x14ac:dyDescent="0.3">
      <c r="A35" s="9">
        <v>10112</v>
      </c>
      <c r="B35" s="12">
        <v>10116</v>
      </c>
      <c r="C35" s="2" t="e">
        <v>#N/A</v>
      </c>
      <c r="G35" s="2" t="str">
        <f t="shared" si="0"/>
        <v>G</v>
      </c>
      <c r="H35" s="2" t="str">
        <f t="shared" si="1"/>
        <v>I</v>
      </c>
      <c r="I35" s="2" t="s">
        <v>182</v>
      </c>
      <c r="J35" s="2" t="e">
        <f>VLOOKUP(G35,$A$10:$J$18,MATCH(I35,$B$9:$J$9,0),0)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Umadevi Hiremath</cp:lastModifiedBy>
  <dcterms:created xsi:type="dcterms:W3CDTF">2015-02-10T17:33:11Z</dcterms:created>
  <dcterms:modified xsi:type="dcterms:W3CDTF">2023-12-10T07:59:44Z</dcterms:modified>
</cp:coreProperties>
</file>